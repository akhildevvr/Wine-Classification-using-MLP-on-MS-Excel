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fa\Dropbox\Mis Datos\Docencia\Smart Systems (Dublin)\Examples\"/>
    </mc:Choice>
  </mc:AlternateContent>
  <bookViews>
    <workbookView xWindow="0" yWindow="0" windowWidth="12520" windowHeight="6910"/>
  </bookViews>
  <sheets>
    <sheet name="Neural Net. 5 inputs 3 hidden " sheetId="1" r:id="rId1"/>
  </sheets>
  <functionGroups builtInGroupCount="18"/>
  <definedNames>
    <definedName name="solver_adj" localSheetId="0" hidden="1">'Neural Net. 5 inputs 3 hidden '!$B$3:$D$8,'Neural Net. 5 inputs 3 hidden '!$G$3:$G$6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'Neural Net. 5 inputs 3 hidden '!$B$3:$D$8</definedName>
    <definedName name="solver_lhs2" localSheetId="0" hidden="1">'Neural Net. 5 inputs 3 hidden '!$B$3:$D$8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'Neural Net. 5 inputs 3 hidden '!$L$3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hs1" localSheetId="0" hidden="1">10</definedName>
    <definedName name="solver_rhs2" localSheetId="0" hidden="1">-10</definedName>
    <definedName name="solver_rlx" localSheetId="0" hidden="1">2</definedName>
    <definedName name="solver_rsd" localSheetId="0" hidden="1">3</definedName>
    <definedName name="solver_scl" localSheetId="0" hidden="1">1</definedName>
    <definedName name="solver_sho" localSheetId="0" hidden="1">2</definedName>
    <definedName name="solver_ssz" localSheetId="0" hidden="1">1000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1" l="1"/>
  <c r="B38" i="1"/>
  <c r="K44" i="1"/>
  <c r="J44" i="1"/>
  <c r="I44" i="1"/>
  <c r="H44" i="1"/>
  <c r="G44" i="1"/>
  <c r="F44" i="1"/>
  <c r="E44" i="1"/>
  <c r="D44" i="1"/>
  <c r="C44" i="1"/>
  <c r="B44" i="1"/>
  <c r="K41" i="1"/>
  <c r="J41" i="1"/>
  <c r="I41" i="1"/>
  <c r="H41" i="1"/>
  <c r="G41" i="1"/>
  <c r="F41" i="1"/>
  <c r="E41" i="1"/>
  <c r="D41" i="1"/>
  <c r="C41" i="1"/>
  <c r="B41" i="1"/>
  <c r="K38" i="1"/>
  <c r="J38" i="1"/>
  <c r="I38" i="1"/>
  <c r="H38" i="1"/>
  <c r="G38" i="1"/>
  <c r="E38" i="1"/>
  <c r="D38" i="1"/>
  <c r="C38" i="1"/>
  <c r="K37" i="1"/>
  <c r="J37" i="1"/>
  <c r="I37" i="1"/>
  <c r="H37" i="1"/>
  <c r="G37" i="1"/>
  <c r="F37" i="1"/>
  <c r="E37" i="1"/>
  <c r="D37" i="1"/>
  <c r="C37" i="1"/>
  <c r="B37" i="1"/>
  <c r="L18" i="1"/>
  <c r="M18" i="1"/>
  <c r="N18" i="1"/>
  <c r="O18" i="1"/>
  <c r="P18" i="1"/>
  <c r="Q18" i="1"/>
  <c r="R18" i="1"/>
  <c r="S18" i="1"/>
  <c r="T18" i="1"/>
  <c r="U18" i="1"/>
  <c r="L21" i="1"/>
  <c r="M21" i="1"/>
  <c r="N21" i="1"/>
  <c r="O21" i="1"/>
  <c r="P21" i="1"/>
  <c r="Q21" i="1"/>
  <c r="R21" i="1"/>
  <c r="S21" i="1"/>
  <c r="T21" i="1"/>
  <c r="U21" i="1"/>
  <c r="L24" i="1"/>
  <c r="M24" i="1"/>
  <c r="N24" i="1"/>
  <c r="O24" i="1"/>
  <c r="P24" i="1"/>
  <c r="Q24" i="1"/>
  <c r="R24" i="1"/>
  <c r="S24" i="1"/>
  <c r="T24" i="1"/>
  <c r="U24" i="1"/>
  <c r="L17" i="1"/>
  <c r="M17" i="1"/>
  <c r="N17" i="1"/>
  <c r="O17" i="1"/>
  <c r="P17" i="1"/>
  <c r="Q17" i="1"/>
  <c r="R17" i="1"/>
  <c r="S17" i="1"/>
  <c r="T17" i="1"/>
  <c r="U17" i="1"/>
  <c r="C17" i="1"/>
  <c r="D17" i="1"/>
  <c r="E17" i="1"/>
  <c r="F17" i="1"/>
  <c r="G17" i="1"/>
  <c r="H17" i="1"/>
  <c r="I17" i="1"/>
  <c r="J17" i="1"/>
  <c r="K17" i="1"/>
  <c r="B17" i="1"/>
  <c r="L25" i="1"/>
  <c r="B39" i="1"/>
  <c r="L19" i="1"/>
  <c r="O19" i="1"/>
  <c r="N25" i="1"/>
  <c r="J42" i="1"/>
  <c r="F45" i="1"/>
  <c r="F39" i="1"/>
  <c r="E39" i="1"/>
  <c r="C45" i="1"/>
  <c r="M25" i="1"/>
  <c r="P22" i="1"/>
  <c r="Q19" i="1"/>
  <c r="R22" i="1"/>
  <c r="L22" i="1"/>
  <c r="H39" i="1"/>
  <c r="M19" i="1"/>
  <c r="T25" i="1"/>
  <c r="U22" i="1"/>
  <c r="Q25" i="1"/>
  <c r="S22" i="1"/>
  <c r="I45" i="1"/>
  <c r="C42" i="1"/>
  <c r="O25" i="1"/>
  <c r="H45" i="1"/>
  <c r="R25" i="1"/>
  <c r="J45" i="1"/>
  <c r="Q22" i="1"/>
  <c r="P25" i="1"/>
  <c r="S19" i="1"/>
  <c r="E42" i="1"/>
  <c r="K45" i="1"/>
  <c r="N22" i="1"/>
  <c r="I39" i="1"/>
  <c r="D45" i="1"/>
  <c r="J39" i="1"/>
  <c r="T19" i="1"/>
  <c r="S25" i="1"/>
  <c r="I42" i="1"/>
  <c r="T22" i="1"/>
  <c r="O22" i="1"/>
  <c r="F42" i="1"/>
  <c r="M22" i="1"/>
  <c r="R19" i="1"/>
  <c r="U19" i="1"/>
  <c r="N19" i="1"/>
  <c r="K42" i="1"/>
  <c r="E45" i="1"/>
  <c r="P19" i="1"/>
  <c r="G42" i="1"/>
  <c r="C39" i="1"/>
  <c r="D39" i="1"/>
  <c r="K39" i="1"/>
  <c r="B45" i="1"/>
  <c r="B42" i="1"/>
  <c r="G39" i="1"/>
  <c r="D42" i="1"/>
  <c r="U25" i="1"/>
  <c r="G45" i="1"/>
  <c r="H42" i="1"/>
  <c r="B46" i="1" l="1"/>
  <c r="B47" i="1" s="1"/>
  <c r="F46" i="1"/>
  <c r="F47" i="1" s="1"/>
  <c r="H46" i="1"/>
  <c r="H47" i="1" s="1"/>
  <c r="I46" i="1"/>
  <c r="I47" i="1" s="1"/>
  <c r="J46" i="1"/>
  <c r="J47" i="1" s="1"/>
  <c r="C46" i="1"/>
  <c r="C47" i="1" s="1"/>
  <c r="K46" i="1"/>
  <c r="K47" i="1" s="1"/>
  <c r="E46" i="1"/>
  <c r="E47" i="1" s="1"/>
  <c r="G46" i="1"/>
  <c r="G47" i="1" s="1"/>
  <c r="D46" i="1"/>
  <c r="D47" i="1" s="1"/>
  <c r="S26" i="1"/>
  <c r="S27" i="1" s="1"/>
  <c r="P26" i="1"/>
  <c r="P27" i="1" s="1"/>
  <c r="O26" i="1"/>
  <c r="O27" i="1" s="1"/>
  <c r="Q26" i="1"/>
  <c r="Q27" i="1" s="1"/>
  <c r="N26" i="1"/>
  <c r="N27" i="1" s="1"/>
  <c r="U26" i="1"/>
  <c r="U27" i="1" s="1"/>
  <c r="M26" i="1"/>
  <c r="M27" i="1" s="1"/>
  <c r="T26" i="1"/>
  <c r="T27" i="1" s="1"/>
  <c r="L26" i="1"/>
  <c r="L27" i="1" s="1"/>
  <c r="R26" i="1"/>
  <c r="R27" i="1" s="1"/>
  <c r="I24" i="1"/>
  <c r="C24" i="1"/>
  <c r="D24" i="1"/>
  <c r="E24" i="1"/>
  <c r="F24" i="1"/>
  <c r="G24" i="1"/>
  <c r="H24" i="1"/>
  <c r="J24" i="1"/>
  <c r="K24" i="1"/>
  <c r="B24" i="1"/>
  <c r="K21" i="1"/>
  <c r="C21" i="1"/>
  <c r="D21" i="1"/>
  <c r="E21" i="1"/>
  <c r="F21" i="1"/>
  <c r="G21" i="1"/>
  <c r="H21" i="1"/>
  <c r="I21" i="1"/>
  <c r="J21" i="1"/>
  <c r="B21" i="1"/>
  <c r="K18" i="1"/>
  <c r="C18" i="1"/>
  <c r="D18" i="1"/>
  <c r="E18" i="1"/>
  <c r="F18" i="1"/>
  <c r="G18" i="1"/>
  <c r="H18" i="1"/>
  <c r="I18" i="1"/>
  <c r="J18" i="1"/>
  <c r="B18" i="1"/>
  <c r="B19" i="1"/>
  <c r="K25" i="1"/>
  <c r="C22" i="1"/>
  <c r="J22" i="1"/>
  <c r="C19" i="1"/>
  <c r="K19" i="1"/>
  <c r="F25" i="1"/>
  <c r="G19" i="1"/>
  <c r="B22" i="1"/>
  <c r="H19" i="1"/>
  <c r="K22" i="1"/>
  <c r="J25" i="1"/>
  <c r="E25" i="1"/>
  <c r="G22" i="1"/>
  <c r="D19" i="1"/>
  <c r="H25" i="1"/>
  <c r="D22" i="1"/>
  <c r="J19" i="1"/>
  <c r="E19" i="1"/>
  <c r="F19" i="1"/>
  <c r="I19" i="1"/>
  <c r="F22" i="1"/>
  <c r="D25" i="1"/>
  <c r="G25" i="1"/>
  <c r="I22" i="1"/>
  <c r="I25" i="1"/>
  <c r="H22" i="1"/>
  <c r="E22" i="1"/>
  <c r="C25" i="1"/>
  <c r="B25" i="1"/>
  <c r="L6" i="1" l="1"/>
  <c r="B26" i="1"/>
  <c r="B27" i="1" s="1"/>
  <c r="H26" i="1"/>
  <c r="H27" i="1" s="1"/>
  <c r="G26" i="1"/>
  <c r="G27" i="1" s="1"/>
  <c r="F26" i="1"/>
  <c r="F27" i="1" s="1"/>
  <c r="I26" i="1"/>
  <c r="I27" i="1" s="1"/>
  <c r="E26" i="1"/>
  <c r="E27" i="1" s="1"/>
  <c r="D26" i="1"/>
  <c r="D27" i="1" s="1"/>
  <c r="J26" i="1"/>
  <c r="J27" i="1" s="1"/>
  <c r="K26" i="1"/>
  <c r="K27" i="1" s="1"/>
  <c r="C26" i="1"/>
  <c r="C27" i="1" s="1"/>
  <c r="L3" i="1" l="1"/>
</calcChain>
</file>

<file path=xl/sharedStrings.xml><?xml version="1.0" encoding="utf-8"?>
<sst xmlns="http://schemas.openxmlformats.org/spreadsheetml/2006/main" count="40" uniqueCount="30">
  <si>
    <t>Input 1</t>
  </si>
  <si>
    <t>Bias 0</t>
  </si>
  <si>
    <t>Input 2</t>
  </si>
  <si>
    <t>Input 3</t>
  </si>
  <si>
    <t>Input 4</t>
  </si>
  <si>
    <t>Input 5</t>
  </si>
  <si>
    <t>Hidden Input:</t>
  </si>
  <si>
    <t>Input pattern</t>
  </si>
  <si>
    <t>Weights</t>
  </si>
  <si>
    <t>Hidden Input 1:</t>
  </si>
  <si>
    <t>Hidden Output 1:</t>
  </si>
  <si>
    <t>Hidden Input 2:</t>
  </si>
  <si>
    <t>Hidden Output 2:</t>
  </si>
  <si>
    <t>Hidden nodes</t>
  </si>
  <si>
    <t>Hidden Input 3:</t>
  </si>
  <si>
    <t>Hidden Output 3:</t>
  </si>
  <si>
    <t>Hidden</t>
  </si>
  <si>
    <t>Output</t>
  </si>
  <si>
    <t>Network output:</t>
  </si>
  <si>
    <t>bias</t>
  </si>
  <si>
    <t>Function value</t>
  </si>
  <si>
    <t>Error</t>
  </si>
  <si>
    <t># patterns in training:</t>
  </si>
  <si>
    <t>Training error:</t>
  </si>
  <si>
    <t>Testing error:</t>
  </si>
  <si>
    <t>TRAINING SET</t>
  </si>
  <si>
    <t>TESTING SET</t>
  </si>
  <si>
    <t># patterns in testing:</t>
  </si>
  <si>
    <t>Optimization</t>
  </si>
  <si>
    <t>Learning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</si>
</sst>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8E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0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1" fillId="3" borderId="3" xfId="0" applyFont="1" applyFill="1" applyBorder="1" applyAlignment="1">
      <alignment horizontal="center"/>
    </xf>
    <xf numFmtId="0" fontId="0" fillId="3" borderId="3" xfId="0" applyFill="1" applyBorder="1"/>
    <xf numFmtId="0" fontId="1" fillId="3" borderId="3" xfId="0" applyFont="1" applyFill="1" applyBorder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8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2</xdr:row>
      <xdr:rowOff>74023</xdr:rowOff>
    </xdr:from>
    <xdr:to>
      <xdr:col>12</xdr:col>
      <xdr:colOff>402771</xdr:colOff>
      <xdr:row>2</xdr:row>
      <xdr:rowOff>119742</xdr:rowOff>
    </xdr:to>
    <xdr:sp macro="" textlink="">
      <xdr:nvSpPr>
        <xdr:cNvPr id="3" name="Flecha izquierda 2"/>
        <xdr:cNvSpPr/>
      </xdr:nvSpPr>
      <xdr:spPr>
        <a:xfrm>
          <a:off x="6281057" y="444137"/>
          <a:ext cx="326571" cy="4571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81643</xdr:colOff>
      <xdr:row>5</xdr:row>
      <xdr:rowOff>74022</xdr:rowOff>
    </xdr:from>
    <xdr:to>
      <xdr:col>12</xdr:col>
      <xdr:colOff>408214</xdr:colOff>
      <xdr:row>5</xdr:row>
      <xdr:rowOff>119741</xdr:rowOff>
    </xdr:to>
    <xdr:sp macro="" textlink="">
      <xdr:nvSpPr>
        <xdr:cNvPr id="4" name="Flecha izquierda 3"/>
        <xdr:cNvSpPr/>
      </xdr:nvSpPr>
      <xdr:spPr>
        <a:xfrm>
          <a:off x="6286500" y="999308"/>
          <a:ext cx="326571" cy="4571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47"/>
  <sheetViews>
    <sheetView tabSelected="1" topLeftCell="A2" workbookViewId="0">
      <selection activeCell="G8" sqref="G8"/>
    </sheetView>
  </sheetViews>
  <sheetFormatPr baseColWidth="10" defaultRowHeight="14.5" x14ac:dyDescent="0.35"/>
  <cols>
    <col min="1" max="1" width="15.7265625" customWidth="1"/>
    <col min="2" max="5" width="6.36328125" customWidth="1"/>
    <col min="6" max="7" width="7.26953125" customWidth="1"/>
    <col min="8" max="15" width="6.36328125" customWidth="1"/>
    <col min="16" max="22" width="6.7265625" customWidth="1"/>
  </cols>
  <sheetData>
    <row r="1" spans="1:21" x14ac:dyDescent="0.35">
      <c r="A1" s="5"/>
      <c r="B1" s="7"/>
      <c r="C1" s="8" t="s">
        <v>13</v>
      </c>
      <c r="D1" s="7"/>
      <c r="F1" s="12"/>
      <c r="G1" s="12"/>
    </row>
    <row r="2" spans="1:21" x14ac:dyDescent="0.35">
      <c r="A2" s="3" t="s">
        <v>8</v>
      </c>
      <c r="B2" s="4">
        <v>1</v>
      </c>
      <c r="C2" s="4">
        <v>2</v>
      </c>
      <c r="D2" s="4">
        <v>3</v>
      </c>
      <c r="F2" s="4" t="s">
        <v>16</v>
      </c>
      <c r="G2" s="4" t="s">
        <v>17</v>
      </c>
      <c r="I2" t="s">
        <v>22</v>
      </c>
      <c r="L2">
        <v>20</v>
      </c>
    </row>
    <row r="3" spans="1:21" x14ac:dyDescent="0.35">
      <c r="A3" s="6" t="s">
        <v>1</v>
      </c>
      <c r="B3">
        <v>-3.1908099101752208</v>
      </c>
      <c r="C3">
        <v>-1.1569425659494466</v>
      </c>
      <c r="D3">
        <v>-3.1932358138021533</v>
      </c>
      <c r="F3" s="11" t="s">
        <v>19</v>
      </c>
      <c r="G3">
        <v>-6.4825533849647998</v>
      </c>
      <c r="I3" t="s">
        <v>23</v>
      </c>
      <c r="L3">
        <f>SQRT(SUM(B27:U27)/L2)</f>
        <v>1.5463937577244683E-2</v>
      </c>
      <c r="N3" t="s">
        <v>28</v>
      </c>
    </row>
    <row r="4" spans="1:21" x14ac:dyDescent="0.35">
      <c r="A4" s="6" t="s">
        <v>0</v>
      </c>
      <c r="B4">
        <v>5.1521419193913849E-2</v>
      </c>
      <c r="C4">
        <v>0.10048224772392385</v>
      </c>
      <c r="D4">
        <v>8.3951092614301115E-2</v>
      </c>
      <c r="F4" s="11">
        <v>1</v>
      </c>
      <c r="G4">
        <v>27.438699100129273</v>
      </c>
    </row>
    <row r="5" spans="1:21" x14ac:dyDescent="0.35">
      <c r="A5" s="6" t="s">
        <v>2</v>
      </c>
      <c r="B5">
        <v>5.401104338921621E-2</v>
      </c>
      <c r="C5">
        <v>0.10251739006159287</v>
      </c>
      <c r="D5">
        <v>8.0575571702532794E-2</v>
      </c>
      <c r="F5" s="11">
        <v>2</v>
      </c>
      <c r="G5">
        <v>26.709307022115741</v>
      </c>
      <c r="I5" t="s">
        <v>27</v>
      </c>
      <c r="L5">
        <v>10</v>
      </c>
    </row>
    <row r="6" spans="1:21" x14ac:dyDescent="0.35">
      <c r="A6" s="6" t="s">
        <v>3</v>
      </c>
      <c r="B6">
        <v>6.8631504385136863E-2</v>
      </c>
      <c r="C6">
        <v>0.10261765319709898</v>
      </c>
      <c r="D6">
        <v>6.7645326214682375E-2</v>
      </c>
      <c r="F6" s="11">
        <v>3</v>
      </c>
      <c r="G6">
        <v>27.439864629953448</v>
      </c>
      <c r="I6" t="s">
        <v>24</v>
      </c>
      <c r="L6">
        <f>SQRT(SUM(B47:K47)/L5)</f>
        <v>3.0461639946912991E-2</v>
      </c>
      <c r="N6" t="s">
        <v>29</v>
      </c>
    </row>
    <row r="7" spans="1:21" x14ac:dyDescent="0.35">
      <c r="A7" s="6" t="s">
        <v>4</v>
      </c>
      <c r="B7">
        <v>0.14491002710072348</v>
      </c>
      <c r="C7">
        <v>0.2035112392301178</v>
      </c>
      <c r="D7">
        <v>0.1285471005771186</v>
      </c>
    </row>
    <row r="8" spans="1:21" x14ac:dyDescent="0.35">
      <c r="A8" s="9" t="s">
        <v>5</v>
      </c>
      <c r="B8">
        <v>6.5547073149597387E-2</v>
      </c>
      <c r="C8">
        <v>0.10152968559829872</v>
      </c>
      <c r="D8">
        <v>7.1668443595716114E-2</v>
      </c>
    </row>
    <row r="9" spans="1:21" x14ac:dyDescent="0.35">
      <c r="A9" s="1" t="s">
        <v>6</v>
      </c>
    </row>
    <row r="10" spans="1:21" x14ac:dyDescent="0.35">
      <c r="I10" s="20" t="s">
        <v>25</v>
      </c>
      <c r="J10" s="20"/>
    </row>
    <row r="11" spans="1:21" x14ac:dyDescent="0.35">
      <c r="A11" s="17" t="s">
        <v>7</v>
      </c>
      <c r="B11" s="19">
        <v>1</v>
      </c>
      <c r="C11" s="19">
        <v>2</v>
      </c>
      <c r="D11" s="19">
        <v>3</v>
      </c>
      <c r="E11" s="19">
        <v>4</v>
      </c>
      <c r="F11" s="19">
        <v>5</v>
      </c>
      <c r="G11" s="19">
        <v>6</v>
      </c>
      <c r="H11" s="19">
        <v>7</v>
      </c>
      <c r="I11" s="19">
        <v>8</v>
      </c>
      <c r="J11" s="19">
        <v>9</v>
      </c>
      <c r="K11" s="19">
        <v>10</v>
      </c>
      <c r="L11" s="19">
        <v>11</v>
      </c>
      <c r="M11" s="19">
        <v>12</v>
      </c>
      <c r="N11" s="19">
        <v>13</v>
      </c>
      <c r="O11" s="19">
        <v>14</v>
      </c>
      <c r="P11" s="19">
        <v>15</v>
      </c>
      <c r="Q11" s="19">
        <v>16</v>
      </c>
      <c r="R11" s="19">
        <v>17</v>
      </c>
      <c r="S11" s="19">
        <v>18</v>
      </c>
      <c r="T11" s="19">
        <v>19</v>
      </c>
      <c r="U11" s="19">
        <v>20</v>
      </c>
    </row>
    <row r="12" spans="1:21" x14ac:dyDescent="0.35">
      <c r="A12" s="13">
        <v>1</v>
      </c>
      <c r="B12" s="14">
        <v>1</v>
      </c>
      <c r="C12" s="14">
        <v>10</v>
      </c>
      <c r="D12" s="14">
        <v>10</v>
      </c>
      <c r="E12" s="14">
        <v>2</v>
      </c>
      <c r="F12" s="14">
        <v>3</v>
      </c>
      <c r="G12" s="14">
        <v>6</v>
      </c>
      <c r="H12" s="14">
        <v>2</v>
      </c>
      <c r="I12" s="14">
        <v>1</v>
      </c>
      <c r="J12" s="14">
        <v>3</v>
      </c>
      <c r="K12" s="14">
        <v>8</v>
      </c>
      <c r="L12" s="14">
        <v>3</v>
      </c>
      <c r="M12" s="14">
        <v>10</v>
      </c>
      <c r="N12" s="14">
        <v>4</v>
      </c>
      <c r="O12" s="14">
        <v>8</v>
      </c>
      <c r="P12" s="14">
        <v>0</v>
      </c>
      <c r="Q12" s="14">
        <v>1</v>
      </c>
      <c r="R12" s="14">
        <v>6</v>
      </c>
      <c r="S12" s="14">
        <v>5</v>
      </c>
      <c r="T12" s="14">
        <v>3</v>
      </c>
      <c r="U12" s="14">
        <v>6</v>
      </c>
    </row>
    <row r="13" spans="1:21" x14ac:dyDescent="0.35">
      <c r="A13" s="13">
        <v>2</v>
      </c>
      <c r="B13" s="14">
        <v>4</v>
      </c>
      <c r="C13" s="14">
        <v>1</v>
      </c>
      <c r="D13" s="14">
        <v>2</v>
      </c>
      <c r="E13" s="14">
        <v>1</v>
      </c>
      <c r="F13" s="14">
        <v>1</v>
      </c>
      <c r="G13" s="14">
        <v>7</v>
      </c>
      <c r="H13" s="14">
        <v>5</v>
      </c>
      <c r="I13" s="14">
        <v>6</v>
      </c>
      <c r="J13" s="14">
        <v>1</v>
      </c>
      <c r="K13" s="14">
        <v>6</v>
      </c>
      <c r="L13" s="14">
        <v>3</v>
      </c>
      <c r="M13" s="14">
        <v>4</v>
      </c>
      <c r="N13" s="14">
        <v>10</v>
      </c>
      <c r="O13" s="14">
        <v>4</v>
      </c>
      <c r="P13" s="14">
        <v>4</v>
      </c>
      <c r="Q13" s="14">
        <v>2</v>
      </c>
      <c r="R13" s="14">
        <v>9</v>
      </c>
      <c r="S13" s="14">
        <v>8</v>
      </c>
      <c r="T13" s="14">
        <v>4</v>
      </c>
      <c r="U13" s="14">
        <v>2</v>
      </c>
    </row>
    <row r="14" spans="1:21" x14ac:dyDescent="0.35">
      <c r="A14" s="13">
        <v>3</v>
      </c>
      <c r="B14" s="14">
        <v>0</v>
      </c>
      <c r="C14" s="14">
        <v>2</v>
      </c>
      <c r="D14" s="14">
        <v>3</v>
      </c>
      <c r="E14" s="14">
        <v>9</v>
      </c>
      <c r="F14" s="14">
        <v>8</v>
      </c>
      <c r="G14" s="14">
        <v>7</v>
      </c>
      <c r="H14" s="14">
        <v>3</v>
      </c>
      <c r="I14" s="14">
        <v>5</v>
      </c>
      <c r="J14" s="14">
        <v>1</v>
      </c>
      <c r="K14" s="14">
        <v>0</v>
      </c>
      <c r="L14" s="14">
        <v>2</v>
      </c>
      <c r="M14" s="14">
        <v>9</v>
      </c>
      <c r="N14" s="14">
        <v>4</v>
      </c>
      <c r="O14" s="14">
        <v>4</v>
      </c>
      <c r="P14" s="14">
        <v>1</v>
      </c>
      <c r="Q14" s="14">
        <v>10</v>
      </c>
      <c r="R14" s="14">
        <v>4</v>
      </c>
      <c r="S14" s="14">
        <v>4</v>
      </c>
      <c r="T14" s="14">
        <v>2</v>
      </c>
      <c r="U14" s="14">
        <v>9</v>
      </c>
    </row>
    <row r="15" spans="1:21" x14ac:dyDescent="0.35">
      <c r="A15" s="13">
        <v>4</v>
      </c>
      <c r="B15" s="14">
        <v>9</v>
      </c>
      <c r="C15" s="14">
        <v>5</v>
      </c>
      <c r="D15" s="14">
        <v>4</v>
      </c>
      <c r="E15" s="14">
        <v>3</v>
      </c>
      <c r="F15" s="14">
        <v>4</v>
      </c>
      <c r="G15" s="14">
        <v>4</v>
      </c>
      <c r="H15" s="14">
        <v>1</v>
      </c>
      <c r="I15" s="14">
        <v>6</v>
      </c>
      <c r="J15" s="14">
        <v>8</v>
      </c>
      <c r="K15" s="14">
        <v>6</v>
      </c>
      <c r="L15" s="14">
        <v>10</v>
      </c>
      <c r="M15" s="14">
        <v>10</v>
      </c>
      <c r="N15" s="14">
        <v>9</v>
      </c>
      <c r="O15" s="14">
        <v>9</v>
      </c>
      <c r="P15" s="14">
        <v>3</v>
      </c>
      <c r="Q15" s="14">
        <v>9</v>
      </c>
      <c r="R15" s="14">
        <v>3</v>
      </c>
      <c r="S15" s="14">
        <v>2</v>
      </c>
      <c r="T15" s="14">
        <v>1</v>
      </c>
      <c r="U15" s="14">
        <v>1</v>
      </c>
    </row>
    <row r="16" spans="1:21" x14ac:dyDescent="0.35">
      <c r="A16" s="15">
        <v>5</v>
      </c>
      <c r="B16" s="16">
        <v>1</v>
      </c>
      <c r="C16" s="16">
        <v>10</v>
      </c>
      <c r="D16" s="16">
        <v>7</v>
      </c>
      <c r="E16" s="16">
        <v>1</v>
      </c>
      <c r="F16" s="16">
        <v>2</v>
      </c>
      <c r="G16" s="16">
        <v>2</v>
      </c>
      <c r="H16" s="16">
        <v>3</v>
      </c>
      <c r="I16" s="16">
        <v>4</v>
      </c>
      <c r="J16" s="16">
        <v>0</v>
      </c>
      <c r="K16" s="16">
        <v>8</v>
      </c>
      <c r="L16" s="14">
        <v>7</v>
      </c>
      <c r="M16" s="14">
        <v>9</v>
      </c>
      <c r="N16" s="14">
        <v>5</v>
      </c>
      <c r="O16" s="14">
        <v>6</v>
      </c>
      <c r="P16" s="14">
        <v>9</v>
      </c>
      <c r="Q16" s="14">
        <v>2</v>
      </c>
      <c r="R16" s="14">
        <v>8</v>
      </c>
      <c r="S16" s="14">
        <v>1</v>
      </c>
      <c r="T16" s="14">
        <v>0</v>
      </c>
      <c r="U16" s="14">
        <v>2</v>
      </c>
    </row>
    <row r="17" spans="1:21" x14ac:dyDescent="0.35">
      <c r="A17" s="17" t="s">
        <v>20</v>
      </c>
      <c r="B17" s="18">
        <f>B12+B13+B14+2*B15+B16</f>
        <v>24</v>
      </c>
      <c r="C17" s="18">
        <f t="shared" ref="C17:K17" si="0">C12+C13+C14+2*C15+C16</f>
        <v>33</v>
      </c>
      <c r="D17" s="18">
        <f t="shared" si="0"/>
        <v>30</v>
      </c>
      <c r="E17" s="18">
        <f t="shared" si="0"/>
        <v>19</v>
      </c>
      <c r="F17" s="18">
        <f t="shared" si="0"/>
        <v>22</v>
      </c>
      <c r="G17" s="18">
        <f t="shared" si="0"/>
        <v>30</v>
      </c>
      <c r="H17" s="18">
        <f t="shared" si="0"/>
        <v>15</v>
      </c>
      <c r="I17" s="18">
        <f t="shared" si="0"/>
        <v>28</v>
      </c>
      <c r="J17" s="18">
        <f t="shared" si="0"/>
        <v>21</v>
      </c>
      <c r="K17" s="18">
        <f t="shared" si="0"/>
        <v>34</v>
      </c>
      <c r="L17" s="18">
        <f t="shared" ref="L17" si="1">L12+L13+L14+2*L15+L16</f>
        <v>35</v>
      </c>
      <c r="M17" s="18">
        <f t="shared" ref="M17" si="2">M12+M13+M14+2*M15+M16</f>
        <v>52</v>
      </c>
      <c r="N17" s="18">
        <f t="shared" ref="N17" si="3">N12+N13+N14+2*N15+N16</f>
        <v>41</v>
      </c>
      <c r="O17" s="18">
        <f t="shared" ref="O17" si="4">O12+O13+O14+2*O15+O16</f>
        <v>40</v>
      </c>
      <c r="P17" s="18">
        <f t="shared" ref="P17" si="5">P12+P13+P14+2*P15+P16</f>
        <v>20</v>
      </c>
      <c r="Q17" s="18">
        <f t="shared" ref="Q17" si="6">Q12+Q13+Q14+2*Q15+Q16</f>
        <v>33</v>
      </c>
      <c r="R17" s="18">
        <f t="shared" ref="R17" si="7">R12+R13+R14+2*R15+R16</f>
        <v>33</v>
      </c>
      <c r="S17" s="18">
        <f t="shared" ref="S17" si="8">S12+S13+S14+2*S15+S16</f>
        <v>22</v>
      </c>
      <c r="T17" s="18">
        <f t="shared" ref="T17" si="9">T12+T13+T14+2*T15+T16</f>
        <v>11</v>
      </c>
      <c r="U17" s="18">
        <f t="shared" ref="U17" si="10">U12+U13+U14+2*U15+U16</f>
        <v>21</v>
      </c>
    </row>
    <row r="18" spans="1:21" x14ac:dyDescent="0.35">
      <c r="A18" s="8" t="s">
        <v>9</v>
      </c>
      <c r="B18">
        <f t="shared" ref="B18:K18" si="11">$B$3+SUMPRODUCT($B$4:$B$8,B12:B16)</f>
        <v>-1.5535070003683333</v>
      </c>
      <c r="C18">
        <f t="shared" si="11"/>
        <v>-1.1043007990770008</v>
      </c>
      <c r="D18">
        <f t="shared" si="11"/>
        <v>-1.3232094978521636</v>
      </c>
      <c r="E18">
        <f t="shared" si="11"/>
        <v>-1.9157953344801772</v>
      </c>
      <c r="F18">
        <f t="shared" si="11"/>
        <v>-1.7224483194210793</v>
      </c>
      <c r="G18">
        <f t="shared" si="11"/>
        <v>-1.3124493058891775</v>
      </c>
      <c r="H18">
        <f t="shared" si="11"/>
        <v>-2.2702660951363858</v>
      </c>
      <c r="I18">
        <f t="shared" si="11"/>
        <v>-1.3404162535175947</v>
      </c>
      <c r="J18">
        <f t="shared" si="11"/>
        <v>-1.7543228880133381</v>
      </c>
      <c r="K18">
        <f t="shared" si="11"/>
        <v>-1.0607355484874925</v>
      </c>
      <c r="L18">
        <f t="shared" ref="L18:U18" si="12">$B$3+SUMPRODUCT($B$4:$B$8,L12:L16)</f>
        <v>-0.8290197306011402</v>
      </c>
      <c r="M18">
        <f t="shared" si="12"/>
        <v>0.19715592414062622</v>
      </c>
      <c r="N18">
        <f t="shared" si="12"/>
        <v>-0.53816217231235752</v>
      </c>
      <c r="O18">
        <f t="shared" si="12"/>
        <v>-0.59059568272240215</v>
      </c>
      <c r="P18">
        <f t="shared" si="12"/>
        <v>-1.881480492584672</v>
      </c>
      <c r="Q18">
        <f t="shared" si="12"/>
        <v>-0.90966697014579978</v>
      </c>
      <c r="R18">
        <f t="shared" si="12"/>
        <v>-1.161949320469295</v>
      </c>
      <c r="S18">
        <f t="shared" si="12"/>
        <v>-1.87122132220033</v>
      </c>
      <c r="T18">
        <f t="shared" si="12"/>
        <v>-2.5380284431656168</v>
      </c>
      <c r="U18">
        <f t="shared" si="12"/>
        <v>-1.879971595367155</v>
      </c>
    </row>
    <row r="19" spans="1:21" x14ac:dyDescent="0.35">
      <c r="A19" s="8" t="s">
        <v>10</v>
      </c>
      <c r="B19">
        <f>Sigmoid(B18)</f>
        <v>0.17458032538582016</v>
      </c>
      <c r="C19">
        <f t="shared" ref="C19:K19" si="13">Sigmoid(C18)</f>
        <v>0.24893492184745597</v>
      </c>
      <c r="D19">
        <f t="shared" si="13"/>
        <v>0.21028481226951973</v>
      </c>
      <c r="E19">
        <f t="shared" si="13"/>
        <v>0.12833117524057863</v>
      </c>
      <c r="F19">
        <f t="shared" si="13"/>
        <v>0.15155607337671317</v>
      </c>
      <c r="G19">
        <f t="shared" si="13"/>
        <v>0.2120772752449597</v>
      </c>
      <c r="H19">
        <f t="shared" si="13"/>
        <v>9.3615631159426005E-2</v>
      </c>
      <c r="I19">
        <f t="shared" si="13"/>
        <v>0.2074416141550432</v>
      </c>
      <c r="J19">
        <f t="shared" si="13"/>
        <v>0.14750278466290986</v>
      </c>
      <c r="K19">
        <f t="shared" si="13"/>
        <v>0.25716891551979276</v>
      </c>
      <c r="L19">
        <f t="shared" ref="L19:U19" si="14">Sigmoid(L18)</f>
        <v>0.30385238287293931</v>
      </c>
      <c r="M19">
        <f t="shared" si="14"/>
        <v>0.54912994209088994</v>
      </c>
      <c r="N19">
        <f t="shared" si="14"/>
        <v>0.36861521129602809</v>
      </c>
      <c r="O19">
        <f t="shared" si="14"/>
        <v>0.35649818870385469</v>
      </c>
      <c r="P19">
        <f t="shared" si="14"/>
        <v>0.13221891364537389</v>
      </c>
      <c r="Q19">
        <f t="shared" si="14"/>
        <v>0.28706799029055774</v>
      </c>
      <c r="R19">
        <f t="shared" si="14"/>
        <v>0.23831326392568894</v>
      </c>
      <c r="S19">
        <f t="shared" si="14"/>
        <v>0.13340046861762375</v>
      </c>
      <c r="T19">
        <f t="shared" si="14"/>
        <v>7.3234873457427796E-2</v>
      </c>
      <c r="U19">
        <f t="shared" si="14"/>
        <v>0.13239213619076701</v>
      </c>
    </row>
    <row r="20" spans="1:21" x14ac:dyDescent="0.35">
      <c r="A20" s="7"/>
    </row>
    <row r="21" spans="1:21" x14ac:dyDescent="0.35">
      <c r="A21" s="8" t="s">
        <v>11</v>
      </c>
      <c r="B21">
        <f t="shared" ref="B21:K21" si="15">$C$3+SUMPRODUCT($C$4:$C$8,B12:B16)</f>
        <v>1.2867400806902076</v>
      </c>
      <c r="C21">
        <f t="shared" si="15"/>
        <v>2.1884856598791593</v>
      </c>
      <c r="D21">
        <f t="shared" si="15"/>
        <v>1.8855204071128366</v>
      </c>
      <c r="E21">
        <f t="shared" si="15"/>
        <v>0.78216160162253701</v>
      </c>
      <c r="F21">
        <f t="shared" si="15"/>
        <v>1.0850671209777787</v>
      </c>
      <c r="G21">
        <f t="shared" si="15"/>
        <v>1.8990005513220083</v>
      </c>
      <c r="H21">
        <f t="shared" si="15"/>
        <v>0.37256213542267624</v>
      </c>
      <c r="I21">
        <f t="shared" si="15"/>
        <v>1.6989184659034311</v>
      </c>
      <c r="J21">
        <f t="shared" si="15"/>
        <v>0.97772913432195918</v>
      </c>
      <c r="K21">
        <f t="shared" si="15"/>
        <v>2.2953246763785975</v>
      </c>
      <c r="L21">
        <f t="shared" ref="L21:U21" si="16">$C$3+SUMPRODUCT($C$4:$C$8,L12:L16)</f>
        <v>2.4031118452905709</v>
      </c>
      <c r="M21">
        <f t="shared" si="16"/>
        <v>4.1303879129959213</v>
      </c>
      <c r="N21">
        <f t="shared" si="16"/>
        <v>3.0198805194131273</v>
      </c>
      <c r="O21">
        <f t="shared" si="16"/>
        <v>2.9082348555375646</v>
      </c>
      <c r="P21">
        <f t="shared" si="16"/>
        <v>0.88004553556906573</v>
      </c>
      <c r="Q21">
        <f t="shared" si="16"/>
        <v>2.209411518136311</v>
      </c>
      <c r="R21">
        <f t="shared" si="16"/>
        <v>2.2018492462135715</v>
      </c>
      <c r="S21">
        <f t="shared" si="16"/>
        <v>1.084630570009846</v>
      </c>
      <c r="T21">
        <f t="shared" si="16"/>
        <v>-3.6679716906987681E-2</v>
      </c>
      <c r="U21">
        <f t="shared" si="16"/>
        <v>0.98111518971788825</v>
      </c>
    </row>
    <row r="22" spans="1:21" x14ac:dyDescent="0.35">
      <c r="A22" s="8" t="s">
        <v>12</v>
      </c>
      <c r="B22">
        <f>Sigmoid(B21)</f>
        <v>0.78359490292106981</v>
      </c>
      <c r="C22">
        <f t="shared" ref="C22:K22" si="17">Sigmoid(C21)</f>
        <v>0.89921074355295361</v>
      </c>
      <c r="D22">
        <f t="shared" si="17"/>
        <v>0.86824392600225009</v>
      </c>
      <c r="E22">
        <f t="shared" si="17"/>
        <v>0.68614580148572302</v>
      </c>
      <c r="F22">
        <f t="shared" si="17"/>
        <v>0.74745169070060558</v>
      </c>
      <c r="G22">
        <f t="shared" si="17"/>
        <v>0.86977836595219582</v>
      </c>
      <c r="H22">
        <f t="shared" si="17"/>
        <v>0.59207793530072106</v>
      </c>
      <c r="I22">
        <f t="shared" si="17"/>
        <v>0.84539342755405267</v>
      </c>
      <c r="J22">
        <f t="shared" si="17"/>
        <v>0.72665739464430901</v>
      </c>
      <c r="K22">
        <f t="shared" si="17"/>
        <v>0.90848908979768117</v>
      </c>
      <c r="L22">
        <f t="shared" ref="L22:U22" si="18">Sigmoid(L21)</f>
        <v>0.91706428967926157</v>
      </c>
      <c r="M22">
        <f t="shared" si="18"/>
        <v>0.9841777277208118</v>
      </c>
      <c r="N22">
        <f t="shared" si="18"/>
        <v>0.95346422439528844</v>
      </c>
      <c r="O22">
        <f t="shared" si="18"/>
        <v>0.94825201716856156</v>
      </c>
      <c r="P22">
        <f t="shared" si="18"/>
        <v>0.70683165709336748</v>
      </c>
      <c r="Q22">
        <f t="shared" si="18"/>
        <v>0.9010914903913767</v>
      </c>
      <c r="R22">
        <f t="shared" si="18"/>
        <v>0.90041545092931197</v>
      </c>
      <c r="S22">
        <f t="shared" si="18"/>
        <v>0.74736927509392259</v>
      </c>
      <c r="T22">
        <f t="shared" si="18"/>
        <v>0.49083109873809666</v>
      </c>
      <c r="U22">
        <f t="shared" si="18"/>
        <v>0.72732943830551711</v>
      </c>
    </row>
    <row r="23" spans="1:21" x14ac:dyDescent="0.35">
      <c r="A23" s="7"/>
    </row>
    <row r="24" spans="1:21" x14ac:dyDescent="0.35">
      <c r="A24" s="8" t="s">
        <v>14</v>
      </c>
      <c r="B24">
        <f t="shared" ref="B24:K24" si="19">$D$3+SUMPRODUCT($D$4:$D$8,B12:B16)</f>
        <v>-1.5583900855879373</v>
      </c>
      <c r="C24">
        <f t="shared" si="19"/>
        <v>-0.7784387246844906</v>
      </c>
      <c r="D24">
        <f t="shared" si="19"/>
        <v>-0.97377025813154194</v>
      </c>
      <c r="E24">
        <f t="shared" si="19"/>
        <v>-1.8786403756118051</v>
      </c>
      <c r="F24">
        <f t="shared" si="19"/>
        <v>-1.6621190650393516</v>
      </c>
      <c r="G24">
        <f t="shared" si="19"/>
        <v>-0.99445768319593419</v>
      </c>
      <c r="H24">
        <f t="shared" si="19"/>
        <v>-2.075967360052573</v>
      </c>
      <c r="I24">
        <f t="shared" si="19"/>
        <v>-1.2296482820536674</v>
      </c>
      <c r="J24">
        <f t="shared" si="19"/>
        <v>-1.764784833425086</v>
      </c>
      <c r="K24">
        <f t="shared" si="19"/>
        <v>-0.69354349044410712</v>
      </c>
      <c r="L24">
        <f t="shared" ref="L24:U24" si="20">$D$3+SUMPRODUCT($D$4:$D$8,L12:L16)</f>
        <v>-0.77721505748108788</v>
      </c>
      <c r="M24">
        <f t="shared" si="20"/>
        <v>0.50787233321576108</v>
      </c>
      <c r="N24">
        <f t="shared" si="20"/>
        <v>-0.26582829828824339</v>
      </c>
      <c r="O24">
        <f t="shared" si="20"/>
        <v>-0.3418089144505192</v>
      </c>
      <c r="P24">
        <f t="shared" si="20"/>
        <v>-1.7726309066845389</v>
      </c>
      <c r="Q24">
        <f t="shared" si="20"/>
        <v>-0.97141952325046343</v>
      </c>
      <c r="R24">
        <f t="shared" si="20"/>
        <v>-0.73477895743773702</v>
      </c>
      <c r="S24">
        <f t="shared" si="20"/>
        <v>-1.5295318275017022</v>
      </c>
      <c r="T24">
        <f t="shared" si="20"/>
        <v>-2.3552424961426355</v>
      </c>
      <c r="U24">
        <f t="shared" si="20"/>
        <v>-1.6476861910105889</v>
      </c>
    </row>
    <row r="25" spans="1:21" x14ac:dyDescent="0.35">
      <c r="A25" s="3" t="s">
        <v>15</v>
      </c>
      <c r="B25" s="2">
        <f>Sigmoid(B24)</f>
        <v>0.17387778064288806</v>
      </c>
      <c r="C25" s="2">
        <f t="shared" ref="C25:K25" si="21">Sigmoid(C24)</f>
        <v>0.31465647414585235</v>
      </c>
      <c r="D25" s="2">
        <f t="shared" si="21"/>
        <v>0.27412964797436262</v>
      </c>
      <c r="E25" s="2">
        <f t="shared" si="21"/>
        <v>0.13254512087010212</v>
      </c>
      <c r="F25" s="2">
        <f t="shared" si="21"/>
        <v>0.15947774272611573</v>
      </c>
      <c r="G25" s="2">
        <f t="shared" si="21"/>
        <v>0.2700325014355241</v>
      </c>
      <c r="H25" s="2">
        <f t="shared" si="21"/>
        <v>0.11145470403342896</v>
      </c>
      <c r="I25" s="2">
        <f t="shared" si="21"/>
        <v>0.22624299052574948</v>
      </c>
      <c r="J25" s="2">
        <f t="shared" si="21"/>
        <v>0.14619208543605414</v>
      </c>
      <c r="K25" s="2">
        <f t="shared" si="21"/>
        <v>0.33324527028804812</v>
      </c>
      <c r="L25" s="2">
        <f t="shared" ref="L25:U25" si="22">Sigmoid(L24)</f>
        <v>0.31492041508712532</v>
      </c>
      <c r="M25" s="2">
        <f t="shared" si="22"/>
        <v>0.62430756741124105</v>
      </c>
      <c r="N25" s="2">
        <f t="shared" si="22"/>
        <v>0.4339315269670605</v>
      </c>
      <c r="O25" s="2">
        <f t="shared" si="22"/>
        <v>0.41537013714584869</v>
      </c>
      <c r="P25" s="2">
        <f t="shared" si="22"/>
        <v>0.14521545502779826</v>
      </c>
      <c r="Q25" s="2">
        <f t="shared" si="22"/>
        <v>0.27459765155175786</v>
      </c>
      <c r="R25" s="2">
        <f t="shared" si="22"/>
        <v>0.32414689544248254</v>
      </c>
      <c r="S25" s="2">
        <f t="shared" si="22"/>
        <v>0.17806219533660553</v>
      </c>
      <c r="T25" s="2">
        <f t="shared" si="22"/>
        <v>8.6649972016931115E-2</v>
      </c>
      <c r="U25" s="2">
        <f t="shared" si="22"/>
        <v>0.16142191273352136</v>
      </c>
    </row>
    <row r="26" spans="1:21" x14ac:dyDescent="0.35">
      <c r="A26" s="10" t="s">
        <v>18</v>
      </c>
      <c r="B26">
        <f>$G$3+B19*$G$4+B22*$G$5+B25*$G$6</f>
        <v>24.008163238180799</v>
      </c>
      <c r="C26">
        <f t="shared" ref="C26:K26" si="23">$G$3+C19*$G$4+C22*$G$5+C25*$G$6</f>
        <v>32.999323913763192</v>
      </c>
      <c r="D26">
        <f t="shared" si="23"/>
        <v>29.999662325380267</v>
      </c>
      <c r="E26">
        <f t="shared" si="23"/>
        <v>19.002186165481671</v>
      </c>
      <c r="F26">
        <f t="shared" si="23"/>
        <v>22.015912472233069</v>
      </c>
      <c r="G26">
        <f t="shared" si="23"/>
        <v>29.977403858946772</v>
      </c>
      <c r="H26">
        <f t="shared" si="23"/>
        <v>14.958431095503531</v>
      </c>
      <c r="I26">
        <f t="shared" si="23"/>
        <v>27.997324291202908</v>
      </c>
      <c r="J26">
        <f t="shared" si="23"/>
        <v>20.984737627613431</v>
      </c>
      <c r="K26">
        <f t="shared" si="23"/>
        <v>33.983146236814392</v>
      </c>
      <c r="L26">
        <f t="shared" ref="L26:U26" si="24">$G$3+L19*$G$4+L22*$G$5+L25*$G$6</f>
        <v>34.990285950804406</v>
      </c>
      <c r="M26">
        <f t="shared" si="24"/>
        <v>52.002478094181924</v>
      </c>
      <c r="N26">
        <f t="shared" si="24"/>
        <v>41.005159544139836</v>
      </c>
      <c r="O26">
        <f t="shared" si="24"/>
        <v>40.024147740124334</v>
      </c>
      <c r="P26">
        <f t="shared" si="24"/>
        <v>20.009037772294054</v>
      </c>
      <c r="Q26">
        <f t="shared" si="24"/>
        <v>32.996670480059144</v>
      </c>
      <c r="R26">
        <f t="shared" si="24"/>
        <v>33.000472212951053</v>
      </c>
      <c r="S26">
        <f t="shared" si="24"/>
        <v>22.025499896378857</v>
      </c>
      <c r="T26">
        <f t="shared" si="24"/>
        <v>11.01433828600168</v>
      </c>
      <c r="U26">
        <f t="shared" si="24"/>
        <v>21.005975310838021</v>
      </c>
    </row>
    <row r="27" spans="1:21" x14ac:dyDescent="0.35">
      <c r="A27" s="3" t="s">
        <v>21</v>
      </c>
      <c r="B27" s="2">
        <f>(B17-B26)^2</f>
        <v>6.6638457596458251E-5</v>
      </c>
      <c r="C27" s="2">
        <f t="shared" ref="C27:K27" si="25">(C17-C26)^2</f>
        <v>4.5709259960155441E-7</v>
      </c>
      <c r="D27" s="2">
        <f t="shared" si="25"/>
        <v>1.1402414881152433E-7</v>
      </c>
      <c r="E27" s="2">
        <f t="shared" si="25"/>
        <v>4.7793195132500315E-6</v>
      </c>
      <c r="F27" s="2">
        <f t="shared" si="25"/>
        <v>2.5320677256818549E-4</v>
      </c>
      <c r="G27" s="2">
        <f t="shared" si="25"/>
        <v>5.1058559049736783E-4</v>
      </c>
      <c r="H27" s="2">
        <f t="shared" si="25"/>
        <v>1.7279738210365324E-3</v>
      </c>
      <c r="I27" s="2">
        <f t="shared" si="25"/>
        <v>7.1594175668361249E-6</v>
      </c>
      <c r="J27" s="2">
        <f t="shared" si="25"/>
        <v>2.3294001086631818E-4</v>
      </c>
      <c r="K27" s="2">
        <f t="shared" si="25"/>
        <v>2.8404933351656471E-4</v>
      </c>
      <c r="L27" s="2">
        <f t="shared" ref="L27" si="26">(L17-L26)^2</f>
        <v>9.4362751774421281E-5</v>
      </c>
      <c r="M27" s="2">
        <f t="shared" ref="M27" si="27">(M17-M26)^2</f>
        <v>6.1409507744878669E-6</v>
      </c>
      <c r="N27" s="2">
        <f t="shared" ref="N27" si="28">(N17-N26)^2</f>
        <v>2.6620895730918219E-5</v>
      </c>
      <c r="O27" s="2">
        <f t="shared" ref="O27" si="29">(O17-O26)^2</f>
        <v>5.8311335311238982E-4</v>
      </c>
      <c r="P27" s="2">
        <f t="shared" ref="P27" si="30">(P17-P26)^2</f>
        <v>8.1681328039166136E-5</v>
      </c>
      <c r="Q27" s="2">
        <f t="shared" ref="Q27" si="31">(Q17-Q26)^2</f>
        <v>1.1085703036555202E-5</v>
      </c>
      <c r="R27" s="2">
        <f t="shared" ref="R27" si="32">(R17-R26)^2</f>
        <v>2.2298507114180277E-7</v>
      </c>
      <c r="S27" s="2">
        <f t="shared" ref="S27" si="33">(S17-S26)^2</f>
        <v>6.5024471533245973E-4</v>
      </c>
      <c r="T27" s="2">
        <f t="shared" ref="T27" si="34">(T17-T26)^2</f>
        <v>2.0558644546596217E-4</v>
      </c>
      <c r="U27" s="2">
        <f t="shared" ref="U27" si="35">(U17-U26)^2</f>
        <v>3.5704339610975839E-5</v>
      </c>
    </row>
    <row r="30" spans="1:21" x14ac:dyDescent="0.35">
      <c r="B30" s="20" t="s">
        <v>26</v>
      </c>
      <c r="C30" s="20"/>
    </row>
    <row r="31" spans="1:21" x14ac:dyDescent="0.35">
      <c r="A31" s="17" t="s">
        <v>7</v>
      </c>
      <c r="B31" s="19">
        <v>1</v>
      </c>
      <c r="C31" s="19">
        <v>2</v>
      </c>
      <c r="D31" s="19">
        <v>3</v>
      </c>
      <c r="E31" s="19">
        <v>4</v>
      </c>
      <c r="F31" s="19">
        <v>5</v>
      </c>
      <c r="G31" s="19">
        <v>6</v>
      </c>
      <c r="H31" s="19">
        <v>7</v>
      </c>
      <c r="I31" s="19">
        <v>8</v>
      </c>
      <c r="J31" s="19">
        <v>9</v>
      </c>
      <c r="K31" s="19">
        <v>10</v>
      </c>
    </row>
    <row r="32" spans="1:21" x14ac:dyDescent="0.35">
      <c r="A32" s="13">
        <v>1</v>
      </c>
      <c r="B32" s="14">
        <v>2</v>
      </c>
      <c r="C32" s="14">
        <v>5</v>
      </c>
      <c r="D32" s="14">
        <v>10</v>
      </c>
      <c r="E32" s="14">
        <v>3</v>
      </c>
      <c r="F32" s="14">
        <v>5</v>
      </c>
      <c r="G32" s="14">
        <v>8</v>
      </c>
      <c r="H32" s="14">
        <v>8</v>
      </c>
      <c r="I32" s="14">
        <v>9</v>
      </c>
      <c r="J32" s="14">
        <v>1</v>
      </c>
      <c r="K32" s="14">
        <v>5</v>
      </c>
    </row>
    <row r="33" spans="1:11" x14ac:dyDescent="0.35">
      <c r="A33" s="13">
        <v>2</v>
      </c>
      <c r="B33" s="14">
        <v>5</v>
      </c>
      <c r="C33" s="14">
        <v>9</v>
      </c>
      <c r="D33" s="14">
        <v>4</v>
      </c>
      <c r="E33" s="14">
        <v>3</v>
      </c>
      <c r="F33" s="14">
        <v>1</v>
      </c>
      <c r="G33" s="14">
        <v>4</v>
      </c>
      <c r="H33" s="14">
        <v>4</v>
      </c>
      <c r="I33" s="14">
        <v>9</v>
      </c>
      <c r="J33" s="14">
        <v>9</v>
      </c>
      <c r="K33" s="14">
        <v>2</v>
      </c>
    </row>
    <row r="34" spans="1:11" x14ac:dyDescent="0.35">
      <c r="A34" s="13">
        <v>3</v>
      </c>
      <c r="B34" s="14">
        <v>8</v>
      </c>
      <c r="C34" s="14">
        <v>6</v>
      </c>
      <c r="D34" s="14">
        <v>10</v>
      </c>
      <c r="E34" s="14">
        <v>10</v>
      </c>
      <c r="F34" s="14">
        <v>6</v>
      </c>
      <c r="G34" s="14">
        <v>0</v>
      </c>
      <c r="H34" s="14">
        <v>5</v>
      </c>
      <c r="I34" s="14">
        <v>6</v>
      </c>
      <c r="J34" s="14">
        <v>10</v>
      </c>
      <c r="K34" s="14">
        <v>3</v>
      </c>
    </row>
    <row r="35" spans="1:11" x14ac:dyDescent="0.35">
      <c r="A35" s="13">
        <v>4</v>
      </c>
      <c r="B35" s="14">
        <v>2</v>
      </c>
      <c r="C35" s="14">
        <v>4</v>
      </c>
      <c r="D35" s="14">
        <v>0</v>
      </c>
      <c r="E35" s="14">
        <v>1</v>
      </c>
      <c r="F35" s="14">
        <v>5</v>
      </c>
      <c r="G35" s="14">
        <v>7</v>
      </c>
      <c r="H35" s="14">
        <v>1</v>
      </c>
      <c r="I35" s="14">
        <v>7</v>
      </c>
      <c r="J35" s="14">
        <v>3</v>
      </c>
      <c r="K35" s="14">
        <v>4</v>
      </c>
    </row>
    <row r="36" spans="1:11" x14ac:dyDescent="0.35">
      <c r="A36" s="15">
        <v>5</v>
      </c>
      <c r="B36" s="16">
        <v>0</v>
      </c>
      <c r="C36" s="16">
        <v>0</v>
      </c>
      <c r="D36" s="16">
        <v>0</v>
      </c>
      <c r="E36" s="16">
        <v>7</v>
      </c>
      <c r="F36" s="16">
        <v>9</v>
      </c>
      <c r="G36" s="16">
        <v>3</v>
      </c>
      <c r="H36" s="16">
        <v>5</v>
      </c>
      <c r="I36" s="16">
        <v>7</v>
      </c>
      <c r="J36" s="16">
        <v>0</v>
      </c>
      <c r="K36" s="16">
        <v>5</v>
      </c>
    </row>
    <row r="37" spans="1:11" x14ac:dyDescent="0.35">
      <c r="A37" s="17" t="s">
        <v>20</v>
      </c>
      <c r="B37" s="18">
        <f>B32+B33+B34+2*B35+B36</f>
        <v>19</v>
      </c>
      <c r="C37" s="18">
        <f t="shared" ref="C37" si="36">C32+C33+C34+2*C35+C36</f>
        <v>28</v>
      </c>
      <c r="D37" s="18">
        <f t="shared" ref="D37" si="37">D32+D33+D34+2*D35+D36</f>
        <v>24</v>
      </c>
      <c r="E37" s="18">
        <f t="shared" ref="E37" si="38">E32+E33+E34+2*E35+E36</f>
        <v>25</v>
      </c>
      <c r="F37" s="18">
        <f t="shared" ref="F37" si="39">F32+F33+F34+2*F35+F36</f>
        <v>31</v>
      </c>
      <c r="G37" s="18">
        <f t="shared" ref="G37" si="40">G32+G33+G34+2*G35+G36</f>
        <v>29</v>
      </c>
      <c r="H37" s="18">
        <f t="shared" ref="H37" si="41">H32+H33+H34+2*H35+H36</f>
        <v>24</v>
      </c>
      <c r="I37" s="18">
        <f t="shared" ref="I37" si="42">I32+I33+I34+2*I35+I36</f>
        <v>45</v>
      </c>
      <c r="J37" s="18">
        <f t="shared" ref="J37" si="43">J32+J33+J34+2*J35+J36</f>
        <v>26</v>
      </c>
      <c r="K37" s="18">
        <f t="shared" ref="K37" si="44">K32+K33+K34+2*K35+K36</f>
        <v>23</v>
      </c>
    </row>
    <row r="38" spans="1:11" x14ac:dyDescent="0.35">
      <c r="A38" s="8" t="s">
        <v>9</v>
      </c>
      <c r="B38">
        <f>$B$3+SUMPRODUCT($B$4:$B$8,B32:B36)</f>
        <v>-1.9788397655587702</v>
      </c>
      <c r="C38">
        <f t="shared" ref="C38:K38" si="45">$B$3+SUMPRODUCT($B$4:$B$8,C32:C36)</f>
        <v>-1.4556742889889904</v>
      </c>
      <c r="D38">
        <f t="shared" si="45"/>
        <v>-1.7732365008278488</v>
      </c>
      <c r="E38">
        <f t="shared" si="45"/>
        <v>-1.5841579394265566</v>
      </c>
      <c r="F38">
        <f>$B$3+SUMPRODUCT($B$4:$B$8,F32:F36)</f>
        <v>-1.1529289506556202</v>
      </c>
      <c r="G38">
        <f t="shared" si="45"/>
        <v>-1.3515829739131888</v>
      </c>
      <c r="H38">
        <f t="shared" si="45"/>
        <v>-1.7467914682926504</v>
      </c>
      <c r="I38">
        <f t="shared" si="45"/>
        <v>-0.35602901886398275</v>
      </c>
      <c r="J38">
        <f t="shared" si="45"/>
        <v>-1.5321439753248218</v>
      </c>
      <c r="K38">
        <f t="shared" si="45"/>
        <v>-1.7119107401209277</v>
      </c>
    </row>
    <row r="39" spans="1:11" x14ac:dyDescent="0.35">
      <c r="A39" s="8" t="s">
        <v>10</v>
      </c>
      <c r="B39">
        <f>Sigmoid(B38)</f>
        <v>0.12144257390380686</v>
      </c>
      <c r="C39">
        <f t="shared" ref="C39:K39" si="46">Sigmoid(C38)</f>
        <v>0.18912982318327162</v>
      </c>
      <c r="D39">
        <f t="shared" si="46"/>
        <v>0.14514030003215525</v>
      </c>
      <c r="E39">
        <f t="shared" si="46"/>
        <v>0.17020742219762133</v>
      </c>
      <c r="F39">
        <f>Sigmoid(F38)</f>
        <v>0.23995450496397402</v>
      </c>
      <c r="G39">
        <f t="shared" si="46"/>
        <v>0.20561169543247906</v>
      </c>
      <c r="H39">
        <f t="shared" si="46"/>
        <v>0.14845234481505695</v>
      </c>
      <c r="I39">
        <f t="shared" si="46"/>
        <v>0.41192116723442651</v>
      </c>
      <c r="J39">
        <f t="shared" si="46"/>
        <v>0.17768021314417765</v>
      </c>
      <c r="K39">
        <f t="shared" si="46"/>
        <v>0.1529160482055128</v>
      </c>
    </row>
    <row r="40" spans="1:11" x14ac:dyDescent="0.35">
      <c r="A40" s="7"/>
    </row>
    <row r="41" spans="1:11" x14ac:dyDescent="0.35">
      <c r="A41" s="8" t="s">
        <v>11</v>
      </c>
      <c r="B41">
        <f t="shared" ref="B41:K41" si="47">$C$3+SUMPRODUCT($C$4:$C$8,B32:B36)</f>
        <v>0.78457258384339301</v>
      </c>
      <c r="C41">
        <f t="shared" si="47"/>
        <v>1.6978760593275737</v>
      </c>
      <c r="D41">
        <f t="shared" si="47"/>
        <v>1.2841260035071531</v>
      </c>
      <c r="E41">
        <f t="shared" si="47"/>
        <v>1.3924519177963022</v>
      </c>
      <c r="F41">
        <f t="shared" si="47"/>
        <v>1.9950153484496369</v>
      </c>
      <c r="G41">
        <f t="shared" si="47"/>
        <v>1.7861527074940364</v>
      </c>
      <c r="H41">
        <f t="shared" si="47"/>
        <v>1.281232909295422</v>
      </c>
      <c r="I41">
        <f t="shared" si="47"/>
        <v>3.4210465671017136</v>
      </c>
      <c r="J41">
        <f t="shared" si="47"/>
        <v>1.5029064419901565</v>
      </c>
      <c r="K41">
        <f t="shared" si="47"/>
        <v>1.18004979729662</v>
      </c>
    </row>
    <row r="42" spans="1:11" x14ac:dyDescent="0.35">
      <c r="A42" s="8" t="s">
        <v>12</v>
      </c>
      <c r="B42">
        <f>Sigmoid(B41)</f>
        <v>0.68666477271886983</v>
      </c>
      <c r="C42">
        <f t="shared" ref="C42:K42" si="48">Sigmoid(C41)</f>
        <v>0.8452571324316368</v>
      </c>
      <c r="D42">
        <f t="shared" si="48"/>
        <v>0.78315129496585489</v>
      </c>
      <c r="E42">
        <f t="shared" si="48"/>
        <v>0.80098338937833613</v>
      </c>
      <c r="F42">
        <f t="shared" si="48"/>
        <v>0.88027272733400119</v>
      </c>
      <c r="G42">
        <f t="shared" si="48"/>
        <v>0.85645493919466109</v>
      </c>
      <c r="H42">
        <f t="shared" si="48"/>
        <v>0.78265957177717926</v>
      </c>
      <c r="I42">
        <f t="shared" si="48"/>
        <v>0.96835585708232019</v>
      </c>
      <c r="J42">
        <f t="shared" si="48"/>
        <v>0.81800756165676347</v>
      </c>
      <c r="K42">
        <f t="shared" si="48"/>
        <v>0.76495675733208912</v>
      </c>
    </row>
    <row r="43" spans="1:11" x14ac:dyDescent="0.35">
      <c r="A43" s="7"/>
    </row>
    <row r="44" spans="1:11" x14ac:dyDescent="0.35">
      <c r="A44" s="8" t="s">
        <v>14</v>
      </c>
      <c r="B44">
        <f t="shared" ref="B44:K44" si="49">$D$3+SUMPRODUCT($D$4:$D$8,B32:B36)</f>
        <v>-1.8241989591891907</v>
      </c>
      <c r="C44">
        <f t="shared" si="49"/>
        <v>-1.1282398458112839</v>
      </c>
      <c r="D44">
        <f t="shared" si="49"/>
        <v>-1.3549693387021873</v>
      </c>
      <c r="E44">
        <f t="shared" si="49"/>
        <v>-1.3929763529576964</v>
      </c>
      <c r="F44">
        <f t="shared" si="49"/>
        <v>-0.99928132649298274</v>
      </c>
      <c r="G44">
        <f t="shared" si="49"/>
        <v>-1.0844897512506346</v>
      </c>
      <c r="H44">
        <f t="shared" si="49"/>
        <v>-1.3742088364485019</v>
      </c>
      <c r="I44">
        <f t="shared" si="49"/>
        <v>9.4884931547289053E-2</v>
      </c>
      <c r="J44">
        <f t="shared" si="49"/>
        <v>-1.3220100119868774</v>
      </c>
      <c r="K44">
        <f t="shared" si="49"/>
        <v>-1.5368626083944803</v>
      </c>
    </row>
    <row r="45" spans="1:11" x14ac:dyDescent="0.35">
      <c r="A45" s="3" t="s">
        <v>15</v>
      </c>
      <c r="B45" s="2">
        <f>Sigmoid(B44)</f>
        <v>0.1389307935675512</v>
      </c>
      <c r="C45" s="2">
        <f t="shared" ref="C45:K45" si="50">Sigmoid(C44)</f>
        <v>0.24448607738393061</v>
      </c>
      <c r="D45" s="2">
        <f t="shared" si="50"/>
        <v>0.20505913313879784</v>
      </c>
      <c r="E45" s="2">
        <f t="shared" si="50"/>
        <v>0.19893302413311001</v>
      </c>
      <c r="F45" s="2">
        <f t="shared" si="50"/>
        <v>0.26908274461902459</v>
      </c>
      <c r="G45" s="2">
        <f t="shared" si="50"/>
        <v>0.25265731360272481</v>
      </c>
      <c r="H45" s="2">
        <f t="shared" si="50"/>
        <v>0.2019406966270722</v>
      </c>
      <c r="I45" s="2">
        <f t="shared" si="50"/>
        <v>0.52370345174332855</v>
      </c>
      <c r="J45" s="2">
        <f t="shared" si="50"/>
        <v>0.21048407424317245</v>
      </c>
      <c r="K45" s="2">
        <f t="shared" si="50"/>
        <v>0.17699182213592876</v>
      </c>
    </row>
    <row r="46" spans="1:11" x14ac:dyDescent="0.35">
      <c r="A46" s="10" t="s">
        <v>18</v>
      </c>
      <c r="B46">
        <f>$G$3+B39*$G$4+B42*$G$5+B45*$G$6</f>
        <v>19.002255262572202</v>
      </c>
      <c r="C46">
        <f t="shared" ref="C46:K46" si="51">$G$3+C39*$G$4+C42*$G$5+C45*$G$6</f>
        <v>27.991820054294752</v>
      </c>
      <c r="D46">
        <f t="shared" si="51"/>
        <v>24.044130871394749</v>
      </c>
      <c r="E46">
        <f t="shared" si="51"/>
        <v>25.040123376485056</v>
      </c>
      <c r="F46">
        <f>$G$3+F39*$G$4+F42*$G$5+F45*$G$6</f>
        <v>30.996554698623541</v>
      </c>
      <c r="G46">
        <f t="shared" si="51"/>
        <v>28.967364462058551</v>
      </c>
      <c r="H46">
        <f t="shared" si="51"/>
        <v>24.036306010243855</v>
      </c>
      <c r="I46">
        <f t="shared" si="51"/>
        <v>45.05449329130667</v>
      </c>
      <c r="J46">
        <f t="shared" si="51"/>
        <v>26.016830134241616</v>
      </c>
      <c r="K46">
        <f t="shared" si="51"/>
        <v>23.001360579570669</v>
      </c>
    </row>
    <row r="47" spans="1:11" x14ac:dyDescent="0.35">
      <c r="A47" s="3" t="s">
        <v>21</v>
      </c>
      <c r="B47" s="2">
        <f>(B37-B46)^2</f>
        <v>5.0862092695756285E-6</v>
      </c>
      <c r="C47" s="2">
        <f t="shared" ref="C47" si="52">(C37-C46)^2</f>
        <v>6.6911511740798727E-5</v>
      </c>
      <c r="D47" s="2">
        <f t="shared" ref="D47" si="53">(D37-D46)^2</f>
        <v>1.9475338100598976E-3</v>
      </c>
      <c r="E47" s="2">
        <f t="shared" ref="E47" si="54">(E37-E46)^2</f>
        <v>1.609885340561539E-3</v>
      </c>
      <c r="F47" s="2">
        <f>(F37-F46)^2</f>
        <v>1.1870101574630571E-5</v>
      </c>
      <c r="G47" s="2">
        <f t="shared" ref="G47" si="55">(G37-G46)^2</f>
        <v>1.065078336727737E-3</v>
      </c>
      <c r="H47" s="2">
        <f t="shared" ref="H47" si="56">(H37-H46)^2</f>
        <v>1.3181263798269238E-3</v>
      </c>
      <c r="I47" s="2">
        <f t="shared" ref="I47" si="57">(I37-I46)^2</f>
        <v>2.9695187974336226E-3</v>
      </c>
      <c r="J47" s="2">
        <f t="shared" ref="J47" si="58">(J37-J46)^2</f>
        <v>2.8325341859080608E-4</v>
      </c>
      <c r="K47" s="2">
        <f t="shared" ref="K47" si="59">(K37-K46)^2</f>
        <v>1.8511767681213463E-6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Neural Net. 5 inputs 3 hidden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Rafa</cp:lastModifiedBy>
  <dcterms:created xsi:type="dcterms:W3CDTF">2019-04-08T14:21:04Z</dcterms:created>
  <dcterms:modified xsi:type="dcterms:W3CDTF">2019-07-08T13:12:24Z</dcterms:modified>
</cp:coreProperties>
</file>